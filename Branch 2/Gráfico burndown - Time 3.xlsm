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168F1426-67E8-4802-A232-2F63ACB072F1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OFFSET(Atividades!$C$7,0,0,1,COUNT(Atividades!$C$7:$M$7))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7" i="1" l="1"/>
  <c r="D8" i="1"/>
  <c r="D7" i="1"/>
  <c r="E7" i="1" s="1"/>
  <c r="F7" i="1" s="1"/>
  <c r="G7" i="1" s="1"/>
  <c r="H7" i="1" s="1"/>
  <c r="I7" i="1" s="1"/>
  <c r="J7" i="1" s="1"/>
  <c r="C8" i="1"/>
  <c r="C7" i="1"/>
  <c r="L7" i="1" l="1"/>
  <c r="M7" i="1" s="1"/>
  <c r="E8" i="1"/>
  <c r="F8" i="1" s="1"/>
  <c r="G8" i="1" s="1"/>
  <c r="H8" i="1" s="1"/>
  <c r="I8" i="1" s="1"/>
  <c r="J8" i="1" s="1"/>
  <c r="K8" i="1" s="1"/>
  <c r="L8" i="1" s="1"/>
</calcChain>
</file>

<file path=xl/sharedStrings.xml><?xml version="1.0" encoding="utf-8"?>
<sst xmlns="http://schemas.openxmlformats.org/spreadsheetml/2006/main" count="24" uniqueCount="24">
  <si>
    <t>Atividade 1</t>
  </si>
  <si>
    <t>Atividade 2</t>
  </si>
  <si>
    <t>Atividade 3</t>
  </si>
  <si>
    <t>Atividade 4</t>
  </si>
  <si>
    <t>Atividade 5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</si>
  <si>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</si>
  <si>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</si>
  <si>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</si>
  <si>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</si>
  <si>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</si>
  <si>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</si>
  <si>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</si>
  <si>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</si>
  <si>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</si>
  <si>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</si>
  <si>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Total de horas</t>
  </si>
  <si>
    <t>Restante</t>
  </si>
  <si>
    <t>Estimado</t>
  </si>
  <si>
    <t>Proposta</t>
  </si>
  <si>
    <t>Desenvolver o Export</t>
  </si>
  <si>
    <t>Documentação</t>
  </si>
  <si>
    <t>Estudar sobre a Parametrização das Tabelas</t>
  </si>
  <si>
    <t>Desenvolver a Parametrização das Tabelas</t>
  </si>
  <si>
    <t>Estudar sobre 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</si>
</sst>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Atividades!$A$7</c:f>
              <c:strCache>
                <c:ptCount val="1"/>
                <c:pt idx="0">
                  <c:v>Restante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Ref>
              <c:f>Atividades!$C$1:$M$1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1"/>
                <c:pt idx="0">
                  <c:v>68</c:v>
                </c:pt>
                <c:pt idx="1">
                  <c:v>62</c:v>
                </c:pt>
                <c:pt idx="2">
                  <c:v>56</c:v>
                </c:pt>
                <c:pt idx="3">
                  <c:v>52</c:v>
                </c:pt>
                <c:pt idx="4">
                  <c:v>48</c:v>
                </c:pt>
                <c:pt idx="5">
                  <c:v>44</c:v>
                </c:pt>
                <c:pt idx="6">
                  <c:v>42</c:v>
                </c:pt>
                <c:pt idx="7">
                  <c:v>32</c:v>
                </c:pt>
                <c:pt idx="8">
                  <c:v>22</c:v>
                </c:pt>
                <c:pt idx="9">
                  <c:v>12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Atividades!$A$8</c:f>
              <c:strCache>
                <c:ptCount val="1"/>
                <c:pt idx="0">
                  <c:v>Estimado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Ref>
              <c:f>Atividades!$C$1:$M$1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Atividades!$C$8:$M$8</c:f>
              <c:numCache>
                <c:formatCode>General</c:formatCode>
                <c:ptCount val="11"/>
                <c:pt idx="0">
                  <c:v>68</c:v>
                </c:pt>
                <c:pt idx="1">
                  <c:v>61.2</c:v>
                </c:pt>
                <c:pt idx="2">
                  <c:v>54.400000000000006</c:v>
                </c:pt>
                <c:pt idx="3">
                  <c:v>47.600000000000009</c:v>
                </c:pt>
                <c:pt idx="4">
                  <c:v>40.800000000000011</c:v>
                </c:pt>
                <c:pt idx="5">
                  <c:v>34.000000000000014</c:v>
                </c:pt>
                <c:pt idx="6">
                  <c:v>27.200000000000014</c:v>
                </c:pt>
                <c:pt idx="7">
                  <c:v>20.400000000000013</c:v>
                </c:pt>
                <c:pt idx="8">
                  <c:v>13.600000000000012</c:v>
                </c:pt>
                <c:pt idx="9">
                  <c:v>6.8000000000000123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Atividades!$A$7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Atividades!$C$1:$M$1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1"/>
                <c:pt idx="0">
                  <c:v>68</c:v>
                </c:pt>
                <c:pt idx="1">
                  <c:v>62</c:v>
                </c:pt>
                <c:pt idx="2">
                  <c:v>56</c:v>
                </c:pt>
                <c:pt idx="3">
                  <c:v>52</c:v>
                </c:pt>
                <c:pt idx="4">
                  <c:v>48</c:v>
                </c:pt>
                <c:pt idx="5">
                  <c:v>44</c:v>
                </c:pt>
                <c:pt idx="6">
                  <c:v>42</c:v>
                </c:pt>
                <c:pt idx="7">
                  <c:v>32</c:v>
                </c:pt>
                <c:pt idx="8">
                  <c:v>22</c:v>
                </c:pt>
                <c:pt idx="9">
                  <c:v>12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Atividades!$A$8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Atividades!$C$1:$M$1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Atividades!$C$8:$M$8</c:f>
              <c:numCache>
                <c:formatCode>General</c:formatCode>
                <c:ptCount val="11"/>
                <c:pt idx="0">
                  <c:v>68</c:v>
                </c:pt>
                <c:pt idx="1">
                  <c:v>61.2</c:v>
                </c:pt>
                <c:pt idx="2">
                  <c:v>54.400000000000006</c:v>
                </c:pt>
                <c:pt idx="3">
                  <c:v>47.600000000000009</c:v>
                </c:pt>
                <c:pt idx="4">
                  <c:v>40.800000000000011</c:v>
                </c:pt>
                <c:pt idx="5">
                  <c:v>34.000000000000014</c:v>
                </c:pt>
                <c:pt idx="6">
                  <c:v>27.200000000000014</c:v>
                </c:pt>
                <c:pt idx="7">
                  <c:v>20.400000000000013</c:v>
                </c:pt>
                <c:pt idx="8">
                  <c:v>13.600000000000012</c:v>
                </c:pt>
                <c:pt idx="9">
                  <c:v>6.8000000000000123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Atividades!$A$7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Atividades!$C$1:$M$1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1"/>
                <c:pt idx="0">
                  <c:v>68</c:v>
                </c:pt>
                <c:pt idx="1">
                  <c:v>62</c:v>
                </c:pt>
                <c:pt idx="2">
                  <c:v>56</c:v>
                </c:pt>
                <c:pt idx="3">
                  <c:v>52</c:v>
                </c:pt>
                <c:pt idx="4">
                  <c:v>48</c:v>
                </c:pt>
                <c:pt idx="5">
                  <c:v>44</c:v>
                </c:pt>
                <c:pt idx="6">
                  <c:v>42</c:v>
                </c:pt>
                <c:pt idx="7">
                  <c:v>32</c:v>
                </c:pt>
                <c:pt idx="8">
                  <c:v>22</c:v>
                </c:pt>
                <c:pt idx="9">
                  <c:v>12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Atividades!$A$8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Atividades!$C$1:$M$1</c:f>
              <c:strCache>
                <c:ptCount val="11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</c:strCache>
            </c:strRef>
          </c:cat>
          <c:val>
            <c:numRef>
              <c:f>Atividades!$C$8:$M$8</c:f>
              <c:numCache>
                <c:formatCode>General</c:formatCode>
                <c:ptCount val="11"/>
                <c:pt idx="0">
                  <c:v>68</c:v>
                </c:pt>
                <c:pt idx="1">
                  <c:v>61.2</c:v>
                </c:pt>
                <c:pt idx="2">
                  <c:v>54.400000000000006</c:v>
                </c:pt>
                <c:pt idx="3">
                  <c:v>47.600000000000009</c:v>
                </c:pt>
                <c:pt idx="4">
                  <c:v>40.800000000000011</c:v>
                </c:pt>
                <c:pt idx="5">
                  <c:v>34.000000000000014</c:v>
                </c:pt>
                <c:pt idx="6">
                  <c:v>27.200000000000014</c:v>
                </c:pt>
                <c:pt idx="7">
                  <c:v>20.400000000000013</c:v>
                </c:pt>
                <c:pt idx="8">
                  <c:v>13.600000000000012</c:v>
                </c:pt>
                <c:pt idx="9">
                  <c:v>6.8000000000000123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0</xdr:row>
      <xdr:rowOff>66675</xdr:rowOff>
    </xdr:from>
    <xdr:to>
      <xdr:col>21</xdr:col>
      <xdr:colOff>323850</xdr:colOff>
      <xdr:row>11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</xdr:row>
      <xdr:rowOff>104774</xdr:rowOff>
    </xdr:from>
    <xdr:to>
      <xdr:col>11</xdr:col>
      <xdr:colOff>533401</xdr:colOff>
      <xdr:row>20</xdr:row>
      <xdr:rowOff>133349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0</xdr:rowOff>
    </xdr:from>
    <xdr:to>
      <xdr:col>12</xdr:col>
      <xdr:colOff>390525</xdr:colOff>
      <xdr:row>20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8"/>
  <sheetViews>
    <sheetView showGridLines="0" tabSelected="1" workbookViewId="0">
      <selection activeCell="M9" sqref="M9"/>
    </sheetView>
  </sheetViews>
  <sheetFormatPr defaultRowHeight="15" x14ac:dyDescent="0.25"/>
  <cols>
    <col min="1" max="2" width="15.7109375" customWidth="1"/>
    <col min="3" max="3" width="14.85546875" bestFit="1" customWidth="1"/>
    <col min="4" max="9" width="9.42578125" bestFit="1" customWidth="1"/>
    <col min="10" max="12" width="10.28515625" bestFit="1" customWidth="1"/>
    <col min="13" max="13" width="14" bestFit="1" customWidth="1"/>
  </cols>
  <sheetData>
    <row r="1" spans="1:13" ht="15.75" x14ac:dyDescent="0.25">
      <c r="A1" s="2"/>
      <c r="B1" s="3" t="s">
        <v>18</v>
      </c>
      <c r="C1" s="1" t="s">
        <v>15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</row>
    <row r="2" spans="1:13" ht="47.25" x14ac:dyDescent="0.25">
      <c r="A2" s="1" t="s">
        <v>0</v>
      </c>
      <c r="B2" s="5" t="s">
        <v>21</v>
      </c>
      <c r="C2" s="2">
        <v>10</v>
      </c>
      <c r="D2" s="2">
        <v>2</v>
      </c>
      <c r="E2" s="2">
        <v>2</v>
      </c>
      <c r="F2" s="2">
        <v>2</v>
      </c>
      <c r="G2" s="2">
        <v>2</v>
      </c>
      <c r="H2" s="2">
        <v>2</v>
      </c>
      <c r="I2" s="2">
        <v>0</v>
      </c>
      <c r="J2" s="2">
        <v>0</v>
      </c>
      <c r="K2" s="2">
        <v>0</v>
      </c>
      <c r="L2" s="2">
        <v>0</v>
      </c>
      <c r="M2" s="2">
        <v>0</v>
      </c>
    </row>
    <row r="3" spans="1:13" ht="47.25" x14ac:dyDescent="0.25">
      <c r="A3" s="1" t="s">
        <v>1</v>
      </c>
      <c r="B3" s="5" t="s">
        <v>22</v>
      </c>
      <c r="C3" s="2">
        <v>20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5</v>
      </c>
      <c r="K3" s="2">
        <v>5</v>
      </c>
      <c r="L3" s="2">
        <v>5</v>
      </c>
      <c r="M3" s="2">
        <v>5</v>
      </c>
    </row>
    <row r="4" spans="1:13" ht="31.5" x14ac:dyDescent="0.25">
      <c r="A4" s="1" t="s">
        <v>2</v>
      </c>
      <c r="B4" s="5" t="s">
        <v>23</v>
      </c>
      <c r="C4" s="2">
        <v>10</v>
      </c>
      <c r="D4" s="2">
        <v>2</v>
      </c>
      <c r="E4" s="2">
        <v>2</v>
      </c>
      <c r="F4" s="2">
        <v>2</v>
      </c>
      <c r="G4" s="2">
        <v>2</v>
      </c>
      <c r="H4" s="2">
        <v>2</v>
      </c>
      <c r="I4" s="2">
        <v>0</v>
      </c>
      <c r="J4" s="2">
        <v>0</v>
      </c>
      <c r="K4" s="2">
        <v>0</v>
      </c>
      <c r="L4" s="2">
        <v>0</v>
      </c>
      <c r="M4" s="2">
        <v>0</v>
      </c>
    </row>
    <row r="5" spans="1:13" ht="31.5" x14ac:dyDescent="0.25">
      <c r="A5" s="1" t="s">
        <v>3</v>
      </c>
      <c r="B5" s="5" t="s">
        <v>19</v>
      </c>
      <c r="C5" s="2">
        <v>20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5</v>
      </c>
      <c r="K5" s="2">
        <v>5</v>
      </c>
      <c r="L5" s="2">
        <v>5</v>
      </c>
      <c r="M5" s="2">
        <v>5</v>
      </c>
    </row>
    <row r="6" spans="1:13" ht="15.75" x14ac:dyDescent="0.25">
      <c r="A6" s="1" t="s">
        <v>4</v>
      </c>
      <c r="B6" s="4" t="s">
        <v>20</v>
      </c>
      <c r="C6" s="2">
        <v>8</v>
      </c>
      <c r="D6" s="2">
        <v>2</v>
      </c>
      <c r="E6" s="2">
        <v>2</v>
      </c>
      <c r="F6" s="2">
        <v>0</v>
      </c>
      <c r="G6" s="2">
        <v>0</v>
      </c>
      <c r="H6" s="2">
        <v>0</v>
      </c>
      <c r="I6" s="2">
        <v>2</v>
      </c>
      <c r="J6" s="2">
        <v>0</v>
      </c>
      <c r="K6" s="2">
        <v>0</v>
      </c>
      <c r="L6" s="2">
        <v>0</v>
      </c>
      <c r="M6" s="2">
        <v>2</v>
      </c>
    </row>
    <row r="7" spans="1:13" ht="15.75" x14ac:dyDescent="0.25">
      <c r="A7" s="6" t="s">
        <v>16</v>
      </c>
      <c r="B7" s="6"/>
      <c r="C7" s="2">
        <f>SUM($C$2:$C$6)</f>
        <v>68</v>
      </c>
      <c r="D7" s="2">
        <f t="shared" ref="D7:M7" si="0">IF(SUM(D2:D6)&gt;0,C7-SUM(D2:D6),"")</f>
        <v>62</v>
      </c>
      <c r="E7" s="2">
        <f t="shared" si="0"/>
        <v>56</v>
      </c>
      <c r="F7" s="2">
        <f t="shared" si="0"/>
        <v>52</v>
      </c>
      <c r="G7" s="2">
        <f t="shared" si="0"/>
        <v>48</v>
      </c>
      <c r="H7" s="2">
        <f t="shared" si="0"/>
        <v>44</v>
      </c>
      <c r="I7" s="2">
        <f t="shared" si="0"/>
        <v>42</v>
      </c>
      <c r="J7" s="2">
        <f t="shared" si="0"/>
        <v>32</v>
      </c>
      <c r="K7" s="2">
        <f t="shared" si="0"/>
        <v>22</v>
      </c>
      <c r="L7" s="2">
        <f t="shared" si="0"/>
        <v>12</v>
      </c>
      <c r="M7" s="2">
        <f t="shared" si="0"/>
        <v>0</v>
      </c>
    </row>
    <row r="8" spans="1:13" ht="15.75" x14ac:dyDescent="0.25">
      <c r="A8" s="6" t="s">
        <v>17</v>
      </c>
      <c r="B8" s="6"/>
      <c r="C8" s="2">
        <f>SUM($C$2:$C$6)</f>
        <v>68</v>
      </c>
      <c r="D8" s="2">
        <f t="shared" ref="D8:M8" si="1">C8-($C$8/COUNTA($D$1:$M$1))</f>
        <v>61.2</v>
      </c>
      <c r="E8" s="2">
        <f t="shared" si="1"/>
        <v>54.400000000000006</v>
      </c>
      <c r="F8" s="2">
        <f t="shared" si="1"/>
        <v>47.600000000000009</v>
      </c>
      <c r="G8" s="2">
        <f t="shared" si="1"/>
        <v>40.800000000000011</v>
      </c>
      <c r="H8" s="2">
        <f t="shared" si="1"/>
        <v>34.000000000000014</v>
      </c>
      <c r="I8" s="2">
        <f t="shared" si="1"/>
        <v>27.200000000000014</v>
      </c>
      <c r="J8" s="2">
        <f t="shared" si="1"/>
        <v>20.400000000000013</v>
      </c>
      <c r="K8" s="2">
        <f t="shared" si="1"/>
        <v>13.600000000000012</v>
      </c>
      <c r="L8" s="2">
        <f t="shared" si="1"/>
        <v>6.8000000000000123</v>
      </c>
      <c r="M8" s="2">
        <v>0</v>
      </c>
    </row>
  </sheetData>
  <mergeCells count="2">
    <mergeCell ref="A7:B7"/>
    <mergeCell ref="A8:B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>
      <selection activeCell="O14" sqref="O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>
      <selection activeCell="P8" sqref="P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Vilhena</dc:creator>
  <cp:lastModifiedBy>Usuario</cp:lastModifiedBy>
  <cp:lastPrinted>2016-06-19T15:56:58Z</cp:lastPrinted>
  <dcterms:created xsi:type="dcterms:W3CDTF">2016-06-19T15:11:06Z</dcterms:created>
  <dcterms:modified xsi:type="dcterms:W3CDTF">2020-10-04T12:51:06Z</dcterms:modified>
</cp:coreProperties>
</file>